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nna\Downloads\"/>
    </mc:Choice>
  </mc:AlternateContent>
  <xr:revisionPtr revIDLastSave="0" documentId="13_ncr:1_{19E87725-CD65-4CEE-A2F5-805A98BE1854}" xr6:coauthVersionLast="47" xr6:coauthVersionMax="47" xr10:uidLastSave="{00000000-0000-0000-0000-000000000000}"/>
  <bookViews>
    <workbookView xWindow="-110" yWindow="-110" windowWidth="19420" windowHeight="110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16" i="16" l="1"/>
  <c r="E16" i="16"/>
  <c r="F18" i="16"/>
  <c r="F19" i="16"/>
  <c r="F20" i="16"/>
  <c r="F21" i="16"/>
  <c r="F22" i="16"/>
  <c r="F17" i="16"/>
  <c r="F24" i="16"/>
  <c r="F23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32" i="16"/>
  <c r="F33" i="16"/>
  <c r="F34" i="16"/>
  <c r="F35" i="16"/>
  <c r="F36" i="16"/>
  <c r="F37" i="16"/>
  <c r="F38" i="16"/>
  <c r="F39" i="16"/>
  <c r="F40" i="16"/>
  <c r="F41" i="16"/>
  <c r="F42" i="16"/>
  <c r="F25" i="16"/>
  <c r="F26" i="16"/>
  <c r="F27" i="16"/>
  <c r="F28" i="16"/>
  <c r="F29" i="16"/>
  <c r="F30" i="16"/>
  <c r="F31" i="16"/>
  <c r="B6" i="18"/>
  <c r="B28" i="18" s="1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C18" i="16"/>
  <c r="C19" i="16"/>
  <c r="C17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F29" i="18"/>
  <c r="F28" i="18"/>
  <c r="E28" i="18"/>
  <c r="D28" i="18"/>
  <c r="C30" i="18"/>
  <c r="C29" i="18"/>
  <c r="C28" i="18"/>
  <c r="D30" i="18"/>
  <c r="E30" i="18"/>
  <c r="D29" i="18"/>
  <c r="E29" i="18"/>
  <c r="F27" i="18"/>
  <c r="F26" i="18"/>
  <c r="F25" i="18"/>
  <c r="F23" i="18"/>
  <c r="F24" i="18"/>
  <c r="F22" i="18"/>
  <c r="F21" i="18"/>
  <c r="F20" i="18"/>
  <c r="F18" i="18"/>
  <c r="F19" i="18"/>
  <c r="F17" i="18"/>
  <c r="F16" i="18"/>
  <c r="F15" i="18"/>
  <c r="F13" i="18"/>
  <c r="F14" i="18"/>
  <c r="F12" i="18"/>
  <c r="F11" i="18"/>
  <c r="F10" i="18"/>
  <c r="F7" i="18"/>
  <c r="F8" i="18"/>
  <c r="F9" i="18"/>
  <c r="F6" i="18"/>
  <c r="E27" i="18"/>
  <c r="E26" i="18"/>
  <c r="E25" i="18"/>
  <c r="E23" i="18"/>
  <c r="E24" i="18"/>
  <c r="E22" i="18"/>
  <c r="E21" i="18"/>
  <c r="E20" i="18"/>
  <c r="E18" i="18"/>
  <c r="E19" i="18"/>
  <c r="E17" i="18"/>
  <c r="E16" i="18"/>
  <c r="E15" i="18"/>
  <c r="E13" i="18"/>
  <c r="E14" i="18"/>
  <c r="E12" i="18"/>
  <c r="E11" i="18"/>
  <c r="E10" i="18"/>
  <c r="E7" i="18"/>
  <c r="E8" i="18"/>
  <c r="E9" i="18"/>
  <c r="E6" i="18"/>
  <c r="D27" i="18"/>
  <c r="D26" i="18"/>
  <c r="D25" i="18"/>
  <c r="D23" i="18"/>
  <c r="D24" i="18"/>
  <c r="D22" i="18"/>
  <c r="D21" i="18"/>
  <c r="D20" i="18"/>
  <c r="D18" i="18"/>
  <c r="D19" i="18"/>
  <c r="D17" i="18"/>
  <c r="D16" i="18"/>
  <c r="D15" i="18"/>
  <c r="D13" i="18"/>
  <c r="D14" i="18"/>
  <c r="D12" i="18"/>
  <c r="D11" i="18"/>
  <c r="D10" i="18"/>
  <c r="D7" i="18"/>
  <c r="D8" i="18"/>
  <c r="D9" i="18"/>
  <c r="D6" i="18"/>
  <c r="C27" i="18"/>
  <c r="C26" i="18"/>
  <c r="C25" i="18"/>
  <c r="C23" i="18"/>
  <c r="C24" i="18"/>
  <c r="C22" i="18"/>
  <c r="C21" i="18"/>
  <c r="C20" i="18"/>
  <c r="C18" i="18"/>
  <c r="C19" i="18"/>
  <c r="C17" i="18"/>
  <c r="C16" i="18"/>
  <c r="C15" i="18"/>
  <c r="C13" i="18"/>
  <c r="C14" i="18"/>
  <c r="C12" i="18"/>
  <c r="C11" i="18"/>
  <c r="C10" i="18"/>
  <c r="C7" i="18"/>
  <c r="C8" i="18"/>
  <c r="C9" i="18"/>
  <c r="C6" i="18"/>
  <c r="B27" i="18"/>
  <c r="B26" i="18"/>
  <c r="B25" i="18"/>
  <c r="B23" i="18"/>
  <c r="B24" i="18"/>
  <c r="B22" i="18"/>
  <c r="B21" i="18"/>
  <c r="B20" i="18"/>
  <c r="B18" i="18"/>
  <c r="B19" i="18"/>
  <c r="B17" i="18"/>
  <c r="B16" i="18"/>
  <c r="B15" i="18"/>
  <c r="B13" i="18"/>
  <c r="B14" i="18"/>
  <c r="B12" i="18"/>
  <c r="B11" i="18"/>
  <c r="B10" i="18"/>
  <c r="B7" i="18"/>
  <c r="B8" i="18"/>
  <c r="B9" i="18"/>
  <c r="H41" i="1"/>
  <c r="B29" i="18" l="1"/>
  <c r="B30" i="18"/>
</calcChain>
</file>

<file path=xl/sharedStrings.xml><?xml version="1.0" encoding="utf-8"?>
<sst xmlns="http://schemas.openxmlformats.org/spreadsheetml/2006/main" count="331" uniqueCount="186">
  <si>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</si>
  <si>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</si>
  <si>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</si>
  <si>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</si>
  <si>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</si>
  <si>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</si>
  <si>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</si>
  <si>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</si>
  <si>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</si>
  <si>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</si>
  <si>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</si>
  <si>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</si>
  <si>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</si>
  <si>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</si>
  <si>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</si>
  <si>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</si>
  <si>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</si>
  <si>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</si>
  <si>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</si>
  <si>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</si>
  <si>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</si>
  <si>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</si>
  <si>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</si>
  <si>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</si>
  <si>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</si>
  <si>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</si>
  <si>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</si>
  <si>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</si>
  <si>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</si>
  <si>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</si>
  <si>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</si>
  <si>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</si>
  <si>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</si>
  <si>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</si>
  <si>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</si>
  <si>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</si>
  <si>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</si>
  <si>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</si>
  <si>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</si>
  <si>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</si>
  <si>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</si>
  <si>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</si>
  <si>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</si>
  <si>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</si>
  <si>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</si>
  <si>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</si>
  <si>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</si>
  <si>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</si>
  <si>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</si>
  <si>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</si>
  <si>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</si>
  <si>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</si>
  <si>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</si>
  <si>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</si>
  <si>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</si>
  <si>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</si>
  <si>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</si>
  <si>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</si>
  <si>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</si>
  <si>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</si>
  <si>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</si>
  <si>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</si>
  <si>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</si>
  <si>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</si>
  <si>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</si>
  <si>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</si>
  <si>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</si>
  <si>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</si>
  <si>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</si>
  <si>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</si>
  <si>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</si>
  <si>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</si>
  <si>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</si>
  <si>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</si>
  <si>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</si>
  <si>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</si>
  <si>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</si>
  <si>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</si>
  <si>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</si>
  <si>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</si>
  <si>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</si>
  <si>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</si>
  <si>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</si>
  <si>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</si>
  <si>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</si>
  <si>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</si>
  <si>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</si>
  <si>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</si>
  <si>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</si>
  <si>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</si>
  <si>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</si>
  <si>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</si>
  <si>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</si>
  <si>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</si>
  <si>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</si>
  <si>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</si>
  <si>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</si>
  <si>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</si>
  <si>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</si>
  <si>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</si>
  <si>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</si>
  <si>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</si>
  <si>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</si>
  <si>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</si>
  <si>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</si>
  <si>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</si>
  <si>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</si>
  <si>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</si>
  <si>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</si>
  <si>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</si>
  <si>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</si>
  <si>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</si>
  <si>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</si>
  <si>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</si>
  <si>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</si>
  <si>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</si>
  <si>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</si>
  <si>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</si>
  <si>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</si>
  <si>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</si>
  <si>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</si>
  <si>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</si>
  <si>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</si>
  <si>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</si>
  <si>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</si>
  <si>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</si>
  <si>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</si>
  <si>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</si>
  <si>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</si>
  <si>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</si>
  <si>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</si>
  <si>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</si>
  <si>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</si>
  <si>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</si>
  <si>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</si>
  <si>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</si>
  <si>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</si>
  <si>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</si>
  <si>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</si>
  <si>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</si>
  <si>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</si>
  <si>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</si>
  <si>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</si>
  <si>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</si>
  <si>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</si>
  <si>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</si>
  <si>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</si>
  <si>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</si>
  <si>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</si>
  <si>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</si>
  <si>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</si>
  <si>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</si>
  <si>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</si>
  <si>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</si>
  <si>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</si>
  <si>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</si>
  <si>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</si>
  <si>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</si>
  <si>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</si>
  <si>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</si>
  <si>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</si>
  <si>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</si>
  <si>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</si>
  <si>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</si>
  <si>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</si>
  <si>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</si>
  <si>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</si>
  <si>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</si>
  <si>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</si>
  <si>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</si>
  <si>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</si>
  <si>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</si>
  <si>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</si>
  <si>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</si>
  <si>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</si>
  <si>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</si>
  <si>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</si>
  <si>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           SUM =</t>
  </si>
  <si>
    <t>SUMIF(H2:H40,"&gt;20")</t>
  </si>
  <si>
    <t xml:space="preserve">(1) Find &amp; replace method  &amp; (2)"=SUM" function </t>
  </si>
  <si>
    <t>-Used find &amp; replace method to replace all the #NA values with "20" then used "=SUM" function to get the sum of sales.</t>
  </si>
  <si>
    <t>Used cell referencing.</t>
  </si>
  <si>
    <t>Checked all the values given in columns of Table_A - like in col_1 the values are taken from the dataset sheet - ID column,col_2 the values are start_day and so on .</t>
  </si>
  <si>
    <t>Cell referencing</t>
  </si>
  <si>
    <t xml:space="preserve">Used values where values of column &amp; row intersect to get the values of Table C. </t>
  </si>
  <si>
    <t>So used the values accordingly.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</si>
</sst>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9E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Times New Roman"/>
      <charset val="204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8" fillId="0" borderId="0" xfId="0" applyFont="1"/>
    <xf numFmtId="0" fontId="19" fillId="0" borderId="0" xfId="0" applyFont="1"/>
    <xf numFmtId="166" fontId="3" fillId="0" borderId="0" xfId="0" applyNumberFormat="1" applyFont="1"/>
    <xf numFmtId="0" fontId="20" fillId="6" borderId="0" xfId="0" applyFont="1" applyFill="1"/>
    <xf numFmtId="0" fontId="3" fillId="6" borderId="0" xfId="0" applyFont="1" applyFill="1"/>
    <xf numFmtId="21" fontId="3" fillId="0" borderId="6" xfId="0" applyNumberFormat="1" applyFont="1" applyBorder="1"/>
    <xf numFmtId="164" fontId="3" fillId="0" borderId="6" xfId="0" applyNumberFormat="1" applyFont="1" applyBorder="1"/>
    <xf numFmtId="0" fontId="8" fillId="6" borderId="0" xfId="0" applyFont="1" applyFill="1"/>
    <xf numFmtId="0" fontId="15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colors>
    <mruColors>
      <color rgb="FF9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104" zoomScaleNormal="100" workbookViewId="0">
      <pane ySplit="1" topLeftCell="A2" activePane="bottomLeft" state="frozen"/>
      <selection pane="bottomLeft" activeCell="F2" sqref="F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0.99998842592592585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0.88571428571428601</v>
      </c>
      <c r="O2" s="1">
        <v>0.64999999999999603</v>
      </c>
      <c r="P2" s="1">
        <v>0.41428571428571598</v>
      </c>
      <c r="Q2" s="1">
        <v>0.17857142857142599</v>
      </c>
      <c r="R2" s="1">
        <v>-5.7142857142853803E-2</v>
      </c>
      <c r="S2" s="1">
        <v>-0.29285714285714398</v>
      </c>
      <c r="T2" s="1">
        <v>-0.52857142857142403</v>
      </c>
      <c r="U2" s="1">
        <v>-0.76428571428571401</v>
      </c>
      <c r="V2" s="1">
        <v>-1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0.88571428571428601</v>
      </c>
      <c r="O3" s="1">
        <v>0.64999999999999603</v>
      </c>
      <c r="P3" s="1">
        <v>0.41428571428571598</v>
      </c>
      <c r="Q3" s="1">
        <v>0.17857142857142599</v>
      </c>
      <c r="R3" s="1">
        <v>-5.7142857142853803E-2</v>
      </c>
      <c r="S3" s="1">
        <v>-0.29285714285714398</v>
      </c>
      <c r="T3" s="1">
        <v>-0.52857142857142403</v>
      </c>
      <c r="U3" s="1">
        <v>-0.76428571428571401</v>
      </c>
      <c r="V3" s="1">
        <v>-1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3.6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1.6857142857142899</v>
      </c>
      <c r="O4" s="1">
        <v>1.4142857142857199</v>
      </c>
      <c r="P4" s="1">
        <v>1.1428571428571499</v>
      </c>
      <c r="Q4" s="1">
        <v>0.871428571428566</v>
      </c>
      <c r="R4" s="1">
        <v>0.59999999999999598</v>
      </c>
      <c r="S4" s="1">
        <v>0.32857142857142702</v>
      </c>
      <c r="T4" s="1">
        <v>5.7142857142856503E-2</v>
      </c>
      <c r="U4" s="1">
        <v>-0.214285714285714</v>
      </c>
      <c r="V4" s="1">
        <v>-0.48571428571428399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3.6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2.51428571428572</v>
      </c>
      <c r="O5" s="1">
        <v>2.1928571428571502</v>
      </c>
      <c r="P5" s="1">
        <v>1.8714285714285701</v>
      </c>
      <c r="Q5" s="1">
        <v>1.5499999999999901</v>
      </c>
      <c r="R5" s="1">
        <v>1.22857142857143</v>
      </c>
      <c r="S5" s="1">
        <v>0.90714285714285503</v>
      </c>
      <c r="T5" s="1">
        <v>0.58571428571428497</v>
      </c>
      <c r="U5" s="1">
        <v>0.26428571428570502</v>
      </c>
      <c r="V5" s="1">
        <v>-5.7142857142864899E-2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3.6</v>
      </c>
      <c r="O6" s="1">
        <v>3.1892857142857101</v>
      </c>
      <c r="P6" s="1">
        <v>2.7785714285714298</v>
      </c>
      <c r="Q6" s="1">
        <v>2.3678571428571402</v>
      </c>
      <c r="R6" s="1">
        <v>1.95714285714286</v>
      </c>
      <c r="S6" s="1">
        <v>1.5464285714285699</v>
      </c>
      <c r="T6" s="1">
        <v>1.1357142857142899</v>
      </c>
      <c r="U6" s="1">
        <v>0.72499999999999998</v>
      </c>
      <c r="V6" s="1">
        <v>0.314285714285719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3.8571428571428599</v>
      </c>
      <c r="O7" s="1">
        <v>3.33214285714286</v>
      </c>
      <c r="P7" s="1">
        <v>2.80714285714286</v>
      </c>
      <c r="Q7" s="1">
        <v>2.2821428571428601</v>
      </c>
      <c r="R7" s="1">
        <v>1.75714285714286</v>
      </c>
      <c r="S7" s="1">
        <v>1.2321428571428601</v>
      </c>
      <c r="T7" s="1">
        <v>0.70714285714285596</v>
      </c>
      <c r="U7" s="1">
        <v>0.182142857142857</v>
      </c>
      <c r="V7" s="1">
        <v>-0.34285714285714303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5.45714285714286</v>
      </c>
      <c r="O8" s="1">
        <v>4.83928571428571</v>
      </c>
      <c r="P8" s="1">
        <v>4.2214285714285698</v>
      </c>
      <c r="Q8" s="1">
        <v>3.60357142857143</v>
      </c>
      <c r="R8" s="1">
        <v>2.98571428571428</v>
      </c>
      <c r="S8" s="1">
        <v>2.3678571428571402</v>
      </c>
      <c r="T8" s="1">
        <v>1.75</v>
      </c>
      <c r="U8" s="1">
        <v>1.13214285714285</v>
      </c>
      <c r="V8" s="1">
        <v>0.51428571428570902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6.8428571428571496</v>
      </c>
      <c r="O9" s="1">
        <v>6.0250000000000004</v>
      </c>
      <c r="P9" s="1">
        <v>5.2071428571428502</v>
      </c>
      <c r="Q9" s="1">
        <v>4.3892857142857098</v>
      </c>
      <c r="R9" s="1">
        <v>3.5714285714285698</v>
      </c>
      <c r="S9" s="1">
        <v>2.7535714285714401</v>
      </c>
      <c r="T9" s="1">
        <v>1.93571428571424</v>
      </c>
      <c r="U9" s="1">
        <v>1.11785714285715</v>
      </c>
      <c r="V9" s="1">
        <v>0.30000000000004501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9.8428571428571505</v>
      </c>
      <c r="O10" s="1">
        <v>8.7642857142857196</v>
      </c>
      <c r="P10" s="1">
        <v>7.6857142857142904</v>
      </c>
      <c r="Q10" s="1">
        <v>6.6071428571428497</v>
      </c>
      <c r="R10" s="1">
        <v>5.5285714285714498</v>
      </c>
      <c r="S10" s="1">
        <v>4.4500000000000499</v>
      </c>
      <c r="T10" s="1">
        <v>3.3714285714285501</v>
      </c>
      <c r="U10" s="1">
        <v>2.2928571428571498</v>
      </c>
      <c r="V10" s="1">
        <v>1.2142857142857499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11.214285714285699</v>
      </c>
      <c r="O11" s="1">
        <v>9.9500000000000099</v>
      </c>
      <c r="P11" s="1">
        <v>8.6857142857143099</v>
      </c>
      <c r="Q11" s="1">
        <v>7.4214285714286099</v>
      </c>
      <c r="R11" s="1">
        <v>6.1571428571429099</v>
      </c>
      <c r="S11" s="1">
        <v>4.8928571428571104</v>
      </c>
      <c r="T11" s="1">
        <v>3.6285714285714099</v>
      </c>
      <c r="U11" s="1">
        <v>2.3642857142857099</v>
      </c>
      <c r="V11" s="1">
        <v>1.1000000000000101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12.4714285714286</v>
      </c>
      <c r="O13" s="1">
        <v>10.824999999999999</v>
      </c>
      <c r="P13" s="1">
        <v>9.1785714285713702</v>
      </c>
      <c r="Q13" s="1">
        <v>7.5321428571428699</v>
      </c>
      <c r="R13" s="1">
        <v>5.8857142857142701</v>
      </c>
      <c r="S13" s="1">
        <v>4.2392857142856704</v>
      </c>
      <c r="T13" s="1">
        <v>2.5928571428571701</v>
      </c>
      <c r="U13" s="1">
        <v>0.94642857142856895</v>
      </c>
      <c r="V13" s="1">
        <v>-0.70000000000003104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14.728571428571399</v>
      </c>
      <c r="O14" s="1">
        <v>13.2107142857143</v>
      </c>
      <c r="P14" s="1">
        <v>11.6928571428571</v>
      </c>
      <c r="Q14" s="1">
        <v>10.175000000000001</v>
      </c>
      <c r="R14" s="1">
        <v>8.6571428571428299</v>
      </c>
      <c r="S14" s="1">
        <v>7.1392857142857302</v>
      </c>
      <c r="T14" s="1">
        <v>5.6214285714285301</v>
      </c>
      <c r="U14" s="1">
        <v>4.1035714285714304</v>
      </c>
      <c r="V14" s="1">
        <v>2.58571428571434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17.071428571428601</v>
      </c>
      <c r="O15" s="1">
        <v>15.425000000000001</v>
      </c>
      <c r="P15" s="1">
        <v>13.7785714285715</v>
      </c>
      <c r="Q15" s="1">
        <v>12.132142857142901</v>
      </c>
      <c r="R15" s="1">
        <v>10.4857142857143</v>
      </c>
      <c r="S15" s="1">
        <v>8.8392857142857704</v>
      </c>
      <c r="T15" s="1">
        <v>7.1928571428571599</v>
      </c>
      <c r="U15" s="1">
        <v>5.5464285714285602</v>
      </c>
      <c r="V15" s="1">
        <v>3.9000000000000701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17.685714285714301</v>
      </c>
      <c r="O16" s="1">
        <v>15.935714285714299</v>
      </c>
      <c r="P16" s="1">
        <v>14.185714285714299</v>
      </c>
      <c r="Q16" s="1">
        <v>12.435714285714299</v>
      </c>
      <c r="R16" s="1">
        <v>10.685714285714299</v>
      </c>
      <c r="S16" s="1">
        <v>8.9357142857142797</v>
      </c>
      <c r="T16" s="1">
        <v>7.1857142857142797</v>
      </c>
      <c r="U16" s="1">
        <v>5.4357142857142797</v>
      </c>
      <c r="V16" s="1">
        <v>3.6857142857142802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18.271428571428601</v>
      </c>
      <c r="O17" s="1">
        <v>16.467857142857198</v>
      </c>
      <c r="P17" s="1">
        <v>14.6642857142857</v>
      </c>
      <c r="Q17" s="1">
        <v>12.8607142857143</v>
      </c>
      <c r="R17" s="1">
        <v>11.0571428571429</v>
      </c>
      <c r="S17" s="1">
        <v>9.2535714285713695</v>
      </c>
      <c r="T17" s="1">
        <v>7.44999999999997</v>
      </c>
      <c r="U17" s="1">
        <v>5.6464285714285696</v>
      </c>
      <c r="V17" s="1">
        <v>3.8428571428571701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18.3571428571429</v>
      </c>
      <c r="O18" s="1">
        <v>16.4428571428572</v>
      </c>
      <c r="P18" s="1">
        <v>14.5285714285715</v>
      </c>
      <c r="Q18" s="1">
        <v>12.614285714285799</v>
      </c>
      <c r="R18" s="1">
        <v>10.700000000000101</v>
      </c>
      <c r="S18" s="1">
        <v>8.7857142857142598</v>
      </c>
      <c r="T18" s="1">
        <v>6.8714285714285603</v>
      </c>
      <c r="U18" s="1">
        <v>4.95714285714286</v>
      </c>
      <c r="V18" s="1">
        <v>3.04285714285716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19.5857142857143</v>
      </c>
      <c r="O19" s="1">
        <v>17.600000000000001</v>
      </c>
      <c r="P19" s="1">
        <v>15.6142857142857</v>
      </c>
      <c r="Q19" s="1">
        <v>13.628571428571499</v>
      </c>
      <c r="R19" s="1">
        <v>11.642857142857199</v>
      </c>
      <c r="S19" s="1">
        <v>9.6571428571428797</v>
      </c>
      <c r="T19" s="1">
        <v>7.6714285714285797</v>
      </c>
      <c r="U19" s="1">
        <v>5.6857142857142797</v>
      </c>
      <c r="V19" s="1">
        <v>3.6999999999999802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21.128571428571401</v>
      </c>
      <c r="O20" s="1">
        <v>18.9035714285714</v>
      </c>
      <c r="P20" s="1">
        <v>16.678571428571399</v>
      </c>
      <c r="Q20" s="1">
        <v>14.453571428571401</v>
      </c>
      <c r="R20" s="1">
        <v>12.228571428571399</v>
      </c>
      <c r="S20" s="1">
        <v>10.0035714285714</v>
      </c>
      <c r="T20" s="1">
        <v>7.7785714285714302</v>
      </c>
      <c r="U20" s="1">
        <v>5.5535714285714297</v>
      </c>
      <c r="V20" s="1">
        <v>3.3285714285714301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22.214285714285701</v>
      </c>
      <c r="O21" s="1">
        <v>19.967857142857099</v>
      </c>
      <c r="P21" s="1">
        <v>17.7214285714285</v>
      </c>
      <c r="Q21" s="1">
        <v>15.475</v>
      </c>
      <c r="R21" s="1">
        <v>13.228571428571399</v>
      </c>
      <c r="S21" s="1">
        <v>10.982142857142801</v>
      </c>
      <c r="T21" s="1">
        <v>8.73571428571422</v>
      </c>
      <c r="U21" s="1">
        <v>6.4892857142857201</v>
      </c>
      <c r="V21" s="1">
        <v>4.2428571428571198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23.1428571428571</v>
      </c>
      <c r="O22" s="1">
        <v>20.7892857142857</v>
      </c>
      <c r="P22" s="1">
        <v>18.435714285714301</v>
      </c>
      <c r="Q22" s="1">
        <v>16.082142857142799</v>
      </c>
      <c r="R22" s="1">
        <v>13.728571428571399</v>
      </c>
      <c r="S22" s="1">
        <v>11.375</v>
      </c>
      <c r="T22" s="1">
        <v>9.0214285714285296</v>
      </c>
      <c r="U22" s="1">
        <v>6.6678571428571303</v>
      </c>
      <c r="V22" s="1">
        <v>4.31428571428573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23.8857142857143</v>
      </c>
      <c r="O23" s="1">
        <v>21.375</v>
      </c>
      <c r="P23" s="1">
        <v>18.8642857142857</v>
      </c>
      <c r="Q23" s="1">
        <v>16.353571428571399</v>
      </c>
      <c r="R23" s="1">
        <v>13.8428571428572</v>
      </c>
      <c r="S23" s="1">
        <v>11.3321428571429</v>
      </c>
      <c r="T23" s="1">
        <v>8.8214285714285907</v>
      </c>
      <c r="U23" s="1">
        <v>6.3107142857142904</v>
      </c>
      <c r="V23" s="1">
        <v>3.7999999999999901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24.542857142857201</v>
      </c>
      <c r="O24" s="1">
        <v>21.967857142857099</v>
      </c>
      <c r="P24" s="1">
        <v>19.3928571428571</v>
      </c>
      <c r="Q24" s="1">
        <v>16.8178571428572</v>
      </c>
      <c r="R24" s="1">
        <v>14.242857142857201</v>
      </c>
      <c r="S24" s="1">
        <v>11.6678571428572</v>
      </c>
      <c r="T24" s="1">
        <v>9.0928571428571505</v>
      </c>
      <c r="U24" s="1">
        <v>6.5178571428571503</v>
      </c>
      <c r="V24" s="1">
        <v>3.9428571428571502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25.4</v>
      </c>
      <c r="O25" s="1">
        <v>22.824999999999999</v>
      </c>
      <c r="P25" s="1">
        <v>20.25</v>
      </c>
      <c r="Q25" s="1">
        <v>17.675000000000001</v>
      </c>
      <c r="R25" s="1">
        <v>15.1</v>
      </c>
      <c r="S25" s="1">
        <v>12.525</v>
      </c>
      <c r="T25" s="1">
        <v>9.9500000000000099</v>
      </c>
      <c r="U25" s="1">
        <v>7.3750000000000098</v>
      </c>
      <c r="V25" s="1">
        <v>4.8000000000000096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26.285714285714299</v>
      </c>
      <c r="O27" s="1">
        <v>23.6357142857143</v>
      </c>
      <c r="P27" s="1">
        <v>20.985714285714302</v>
      </c>
      <c r="Q27" s="1">
        <v>18.3357142857143</v>
      </c>
      <c r="R27" s="1">
        <v>15.685714285714299</v>
      </c>
      <c r="S27" s="1">
        <v>13.035714285714301</v>
      </c>
      <c r="T27" s="1">
        <v>10.3857142857143</v>
      </c>
      <c r="U27" s="1">
        <v>7.7357142857142902</v>
      </c>
      <c r="V27" s="1">
        <v>5.0857142857142899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27.0857142857143</v>
      </c>
      <c r="O28" s="1">
        <v>24.532142857142901</v>
      </c>
      <c r="P28" s="1">
        <v>21.978571428571399</v>
      </c>
      <c r="Q28" s="1">
        <v>19.425000000000001</v>
      </c>
      <c r="R28" s="1">
        <v>16.871428571428599</v>
      </c>
      <c r="S28" s="1">
        <v>14.3178571428572</v>
      </c>
      <c r="T28" s="1">
        <v>11.7642857142857</v>
      </c>
      <c r="U28" s="1">
        <v>9.2107142857142907</v>
      </c>
      <c r="V28" s="1">
        <v>6.6571428571428903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27.742857142857201</v>
      </c>
      <c r="O29" s="1">
        <v>25.082142857142902</v>
      </c>
      <c r="P29" s="1">
        <v>22.421428571428599</v>
      </c>
      <c r="Q29" s="1">
        <v>19.7607142857143</v>
      </c>
      <c r="R29" s="1">
        <v>17.100000000000101</v>
      </c>
      <c r="S29" s="1">
        <v>14.4392857142858</v>
      </c>
      <c r="T29" s="1">
        <v>11.7785714285715</v>
      </c>
      <c r="U29" s="1">
        <v>9.1178571428571509</v>
      </c>
      <c r="V29" s="1">
        <v>6.45714285714286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46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28.814285714285699</v>
      </c>
      <c r="O31" s="1">
        <v>26.082142857142799</v>
      </c>
      <c r="P31" s="1">
        <v>23.35</v>
      </c>
      <c r="Q31" s="1">
        <v>20.617857142857101</v>
      </c>
      <c r="R31" s="1">
        <v>17.8857142857143</v>
      </c>
      <c r="S31" s="1">
        <v>15.1535714285714</v>
      </c>
      <c r="T31" s="1">
        <v>12.421428571428599</v>
      </c>
      <c r="U31" s="1">
        <v>9.6892857142857203</v>
      </c>
      <c r="V31" s="1">
        <v>6.9571428571429204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46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26.8571428571429</v>
      </c>
      <c r="O33" s="1">
        <v>24.303571428571502</v>
      </c>
      <c r="P33" s="1">
        <v>21.75</v>
      </c>
      <c r="Q33" s="1">
        <v>19.196428571428601</v>
      </c>
      <c r="R33" s="1">
        <v>16.642857142857199</v>
      </c>
      <c r="S33" s="1">
        <v>14.089285714285699</v>
      </c>
      <c r="T33" s="1">
        <v>11.535714285714301</v>
      </c>
      <c r="U33" s="1">
        <v>8.9821428571428594</v>
      </c>
      <c r="V33" s="1">
        <v>6.4285714285713604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27.742857142857101</v>
      </c>
      <c r="O34" s="1">
        <v>25.003571428571401</v>
      </c>
      <c r="P34" s="1">
        <v>22.264285714285698</v>
      </c>
      <c r="Q34" s="1">
        <v>19.524999999999999</v>
      </c>
      <c r="R34" s="1">
        <v>16.785714285714199</v>
      </c>
      <c r="S34" s="1">
        <v>14.0464285714285</v>
      </c>
      <c r="T34" s="1">
        <v>11.3071428571428</v>
      </c>
      <c r="U34" s="1">
        <v>8.5678571428571395</v>
      </c>
      <c r="V34" s="1">
        <v>5.8285714285714398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28.3857142857143</v>
      </c>
      <c r="O35" s="1">
        <v>25.514285714285801</v>
      </c>
      <c r="P35" s="1">
        <v>22.642857142857199</v>
      </c>
      <c r="Q35" s="1">
        <v>19.771428571428601</v>
      </c>
      <c r="R35" s="1">
        <v>16.899999999999999</v>
      </c>
      <c r="S35" s="1">
        <v>14.0285714285715</v>
      </c>
      <c r="T35" s="1">
        <v>11.157142857142899</v>
      </c>
      <c r="U35" s="1">
        <v>8.2857142857142794</v>
      </c>
      <c r="V35" s="1">
        <v>5.4142857142857803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30.2</v>
      </c>
      <c r="O36" s="1">
        <v>27.1535714285714</v>
      </c>
      <c r="P36" s="1">
        <v>24.1071428571429</v>
      </c>
      <c r="Q36" s="1">
        <v>21.060714285714301</v>
      </c>
      <c r="R36" s="1">
        <v>18.014285714285698</v>
      </c>
      <c r="S36" s="1">
        <v>14.9678571428572</v>
      </c>
      <c r="T36" s="1">
        <v>11.921428571428599</v>
      </c>
      <c r="U36" s="1">
        <v>8.8750000000000107</v>
      </c>
      <c r="V36" s="1">
        <v>5.8285714285714096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31</v>
      </c>
      <c r="O37" s="1">
        <v>27.8857142857143</v>
      </c>
      <c r="P37" s="1">
        <v>24.771428571428601</v>
      </c>
      <c r="Q37" s="1">
        <v>21.657142857142901</v>
      </c>
      <c r="R37" s="1">
        <v>18.542857142857201</v>
      </c>
      <c r="S37" s="1">
        <v>15.4285714285714</v>
      </c>
      <c r="T37" s="1">
        <v>12.314285714285701</v>
      </c>
      <c r="U37" s="1">
        <v>9.1999999999999993</v>
      </c>
      <c r="V37" s="1">
        <v>6.0857142857142996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31.571428571428601</v>
      </c>
      <c r="O38" s="1">
        <v>28.417857142857201</v>
      </c>
      <c r="P38" s="1">
        <v>25.264285714285801</v>
      </c>
      <c r="Q38" s="1">
        <v>22.110714285714302</v>
      </c>
      <c r="R38" s="1">
        <v>18.957142857142902</v>
      </c>
      <c r="S38" s="1">
        <v>15.8035714285715</v>
      </c>
      <c r="T38" s="1">
        <v>12.65</v>
      </c>
      <c r="U38" s="1">
        <v>9.4964285714285701</v>
      </c>
      <c r="V38" s="1">
        <v>6.3428571428571701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32.6</v>
      </c>
      <c r="O39" s="1">
        <v>29.382142857142899</v>
      </c>
      <c r="P39" s="1">
        <v>26.1642857142857</v>
      </c>
      <c r="Q39" s="1">
        <v>22.946428571428601</v>
      </c>
      <c r="R39" s="1">
        <v>19.728571428571399</v>
      </c>
      <c r="S39" s="1">
        <v>16.5107142857143</v>
      </c>
      <c r="T39" s="1">
        <v>13.2928571428571</v>
      </c>
      <c r="U39" s="1">
        <v>10.074999999999999</v>
      </c>
      <c r="V39" s="1">
        <v>6.8571428571429003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47.836130867709798</v>
      </c>
      <c r="H40" s="1">
        <v>71.054907539118005</v>
      </c>
      <c r="I40" s="1">
        <v>87.4453769559032</v>
      </c>
      <c r="J40" s="1">
        <v>-0.960170697012802</v>
      </c>
      <c r="K40" s="1">
        <v>-0.960170697012802</v>
      </c>
      <c r="L40" s="1">
        <v>-0.960170697012802</v>
      </c>
      <c r="M40" s="1">
        <v>97.002133712659997</v>
      </c>
      <c r="N40" s="1">
        <v>30.7886201991465</v>
      </c>
      <c r="O40" s="1">
        <v>27.755131070920601</v>
      </c>
      <c r="P40" s="1">
        <v>24.7216419426946</v>
      </c>
      <c r="Q40" s="1">
        <v>21.688152814468602</v>
      </c>
      <c r="R40" s="1">
        <v>18.654663686242699</v>
      </c>
      <c r="S40" s="1">
        <v>15.6211745580166</v>
      </c>
      <c r="T40" s="1">
        <v>12.587685429790699</v>
      </c>
      <c r="U40" s="1">
        <v>9.5541963015647298</v>
      </c>
      <c r="V40" s="1">
        <v>6.52070717333876</v>
      </c>
      <c r="W40" s="1">
        <v>93.1</v>
      </c>
      <c r="X40" s="47">
        <v>45162</v>
      </c>
    </row>
    <row r="41" spans="1:24" x14ac:dyDescent="0.35">
      <c r="G41" s="48" t="s">
        <v>177</v>
      </c>
      <c r="H41" s="49">
        <f>SUMIF(H2:H40,"&gt;20")</f>
        <v>1466.8549075391181</v>
      </c>
    </row>
  </sheetData>
  <phoneticPr fontId="21" type="noConversion"/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G27:V40 G26:W26 G2:V25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02"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83.1992187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B7" sqref="B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Dataset!G2</f>
        <v>2.7</v>
      </c>
      <c r="C6" s="11">
        <f>Dataset!N2</f>
        <v>0.88571428571428601</v>
      </c>
      <c r="D6" s="11">
        <f>Dataset!R2</f>
        <v>-5.7142857142853803E-2</v>
      </c>
      <c r="E6" s="11">
        <f>Dataset!T2</f>
        <v>-0.52857142857142403</v>
      </c>
      <c r="F6" s="8">
        <f>Dataset!V2</f>
        <v>-1</v>
      </c>
    </row>
    <row r="7" spans="1:7" ht="14.5" x14ac:dyDescent="0.35">
      <c r="A7" s="7" t="s">
        <v>4</v>
      </c>
      <c r="B7" s="11">
        <f>Dataset!G3</f>
        <v>2.7</v>
      </c>
      <c r="C7" s="11">
        <f>Dataset!N3</f>
        <v>0.88571428571428601</v>
      </c>
      <c r="D7" s="11">
        <f>Dataset!R3</f>
        <v>-5.7142857142853803E-2</v>
      </c>
      <c r="E7" s="11">
        <f>Dataset!T3</f>
        <v>-0.52857142857142403</v>
      </c>
      <c r="F7" s="8">
        <f>Dataset!V3</f>
        <v>-1</v>
      </c>
    </row>
    <row r="8" spans="1:7" ht="14.5" x14ac:dyDescent="0.35">
      <c r="A8" s="7" t="s">
        <v>7</v>
      </c>
      <c r="B8" s="11">
        <f>Dataset!G4</f>
        <v>3.6</v>
      </c>
      <c r="C8" s="11">
        <f>Dataset!N4</f>
        <v>1.6857142857142899</v>
      </c>
      <c r="D8" s="11">
        <f>Dataset!R4</f>
        <v>0.59999999999999598</v>
      </c>
      <c r="E8" s="11">
        <f>Dataset!T4</f>
        <v>5.7142857142856503E-2</v>
      </c>
      <c r="F8" s="8">
        <f>Dataset!V4</f>
        <v>-0.48571428571428399</v>
      </c>
    </row>
    <row r="9" spans="1:7" ht="14.5" x14ac:dyDescent="0.35">
      <c r="A9" s="7" t="s">
        <v>8</v>
      </c>
      <c r="B9" s="11">
        <f>Dataset!G5</f>
        <v>4.9000000000000004</v>
      </c>
      <c r="C9" s="11">
        <f>Dataset!N5</f>
        <v>2.51428571428572</v>
      </c>
      <c r="D9" s="11">
        <f>Dataset!R5</f>
        <v>1.22857142857143</v>
      </c>
      <c r="E9" s="11">
        <f>Dataset!T5</f>
        <v>0.58571428571428497</v>
      </c>
      <c r="F9" s="8">
        <f>Dataset!V5</f>
        <v>-5.7142857142864899E-2</v>
      </c>
    </row>
    <row r="10" spans="1:7" ht="14.5" x14ac:dyDescent="0.35">
      <c r="A10" s="7" t="s">
        <v>11</v>
      </c>
      <c r="B10" s="11">
        <f>Dataset!G8</f>
        <v>9.4</v>
      </c>
      <c r="C10" s="11">
        <f>Dataset!N8</f>
        <v>5.45714285714286</v>
      </c>
      <c r="D10" s="11">
        <f>Dataset!R8</f>
        <v>2.98571428571428</v>
      </c>
      <c r="E10" s="11">
        <f>Dataset!T8</f>
        <v>1.75</v>
      </c>
      <c r="F10" s="8">
        <f>Dataset!V8</f>
        <v>0.51428571428570902</v>
      </c>
    </row>
    <row r="11" spans="1:7" ht="14.5" x14ac:dyDescent="0.35">
      <c r="A11" s="7" t="s">
        <v>12</v>
      </c>
      <c r="B11" s="11">
        <f>Dataset!G9</f>
        <v>11.6</v>
      </c>
      <c r="C11" s="11">
        <f>Dataset!N9</f>
        <v>6.8428571428571496</v>
      </c>
      <c r="D11" s="11">
        <f>Dataset!R9</f>
        <v>3.5714285714285698</v>
      </c>
      <c r="E11" s="11">
        <f>Dataset!T9</f>
        <v>1.93571428571424</v>
      </c>
      <c r="F11" s="8">
        <f>Dataset!V9</f>
        <v>0.30000000000004501</v>
      </c>
    </row>
    <row r="12" spans="1:7" ht="14.5" x14ac:dyDescent="0.35">
      <c r="A12" s="7" t="s">
        <v>14</v>
      </c>
      <c r="B12" s="11">
        <f>Dataset!G11</f>
        <v>18.399999999999999</v>
      </c>
      <c r="C12" s="11">
        <f>Dataset!N11</f>
        <v>11.214285714285699</v>
      </c>
      <c r="D12" s="11">
        <f>Dataset!R11</f>
        <v>6.1571428571429099</v>
      </c>
      <c r="E12" s="11">
        <f>Dataset!T11</f>
        <v>3.6285714285714099</v>
      </c>
      <c r="F12" s="8">
        <f>Dataset!V11</f>
        <v>1.1000000000000101</v>
      </c>
    </row>
    <row r="13" spans="1:7" ht="14.5" x14ac:dyDescent="0.35">
      <c r="A13" s="7" t="s">
        <v>15</v>
      </c>
      <c r="B13" s="11">
        <f>Dataset!G12</f>
        <v>0</v>
      </c>
      <c r="C13" s="11">
        <f>Dataset!N12</f>
        <v>0</v>
      </c>
      <c r="D13" s="11">
        <f>Dataset!R12</f>
        <v>0</v>
      </c>
      <c r="E13" s="11">
        <f>Dataset!T12</f>
        <v>0</v>
      </c>
      <c r="F13" s="8">
        <f>Dataset!V12</f>
        <v>0</v>
      </c>
    </row>
    <row r="14" spans="1:7" ht="14.5" x14ac:dyDescent="0.35">
      <c r="A14" s="7" t="s">
        <v>16</v>
      </c>
      <c r="B14" s="11">
        <f>Dataset!G13</f>
        <v>21.9</v>
      </c>
      <c r="C14" s="11">
        <f>Dataset!N13</f>
        <v>12.4714285714286</v>
      </c>
      <c r="D14" s="11">
        <f>Dataset!R13</f>
        <v>5.8857142857142701</v>
      </c>
      <c r="E14" s="11">
        <f>Dataset!T13</f>
        <v>2.5928571428571701</v>
      </c>
      <c r="F14" s="8">
        <f>Dataset!V13</f>
        <v>-0.70000000000003104</v>
      </c>
    </row>
    <row r="15" spans="1:7" ht="14.5" x14ac:dyDescent="0.35">
      <c r="A15" s="7" t="s">
        <v>18</v>
      </c>
      <c r="B15" s="11">
        <f>Dataset!G15</f>
        <v>26.8</v>
      </c>
      <c r="C15" s="11">
        <f>Dataset!N15</f>
        <v>17.071428571428601</v>
      </c>
      <c r="D15" s="11">
        <f>Dataset!R15</f>
        <v>10.4857142857143</v>
      </c>
      <c r="E15" s="11">
        <f>Dataset!T15</f>
        <v>7.1928571428571599</v>
      </c>
      <c r="F15" s="8">
        <f>Dataset!V15</f>
        <v>3.9000000000000701</v>
      </c>
    </row>
    <row r="16" spans="1:7" ht="14.5" x14ac:dyDescent="0.35">
      <c r="A16" s="7" t="s">
        <v>20</v>
      </c>
      <c r="B16" s="11">
        <f>Dataset!G17</f>
        <v>28.5</v>
      </c>
      <c r="C16" s="11">
        <f>Dataset!N17</f>
        <v>18.271428571428601</v>
      </c>
      <c r="D16" s="11">
        <f>Dataset!R17</f>
        <v>11.0571428571429</v>
      </c>
      <c r="E16" s="11">
        <f>Dataset!T17</f>
        <v>7.44999999999997</v>
      </c>
      <c r="F16" s="8">
        <f>Dataset!V17</f>
        <v>3.8428571428571701</v>
      </c>
    </row>
    <row r="17" spans="1:6" ht="14.5" x14ac:dyDescent="0.35">
      <c r="A17" s="7" t="s">
        <v>22</v>
      </c>
      <c r="B17" s="11">
        <f>Dataset!G19</f>
        <v>30.7</v>
      </c>
      <c r="C17" s="11">
        <f>Dataset!N19</f>
        <v>19.5857142857143</v>
      </c>
      <c r="D17" s="11">
        <f>Dataset!R19</f>
        <v>11.642857142857199</v>
      </c>
      <c r="E17" s="11">
        <f>Dataset!T19</f>
        <v>7.6714285714285797</v>
      </c>
      <c r="F17" s="8">
        <f>Dataset!V19</f>
        <v>3.6999999999999802</v>
      </c>
    </row>
    <row r="18" spans="1:6" ht="14.5" x14ac:dyDescent="0.35">
      <c r="A18" s="7" t="s">
        <v>23</v>
      </c>
      <c r="B18" s="11">
        <f>Dataset!G20</f>
        <v>33.799999999999997</v>
      </c>
      <c r="C18" s="11">
        <f>Dataset!N20</f>
        <v>21.128571428571401</v>
      </c>
      <c r="D18" s="11">
        <f>Dataset!R20</f>
        <v>12.228571428571399</v>
      </c>
      <c r="E18" s="11">
        <f>Dataset!T20</f>
        <v>7.7785714285714302</v>
      </c>
      <c r="F18" s="8">
        <f>Dataset!V20</f>
        <v>3.3285714285714301</v>
      </c>
    </row>
    <row r="19" spans="1:6" ht="14.5" x14ac:dyDescent="0.35">
      <c r="A19" s="7" t="s">
        <v>24</v>
      </c>
      <c r="B19" s="11">
        <f>Dataset!G21</f>
        <v>34.700000000000003</v>
      </c>
      <c r="C19" s="11">
        <f>Dataset!N21</f>
        <v>22.214285714285701</v>
      </c>
      <c r="D19" s="11">
        <f>Dataset!R21</f>
        <v>13.228571428571399</v>
      </c>
      <c r="E19" s="11">
        <f>Dataset!T21</f>
        <v>8.73571428571422</v>
      </c>
      <c r="F19" s="8">
        <f>Dataset!V21</f>
        <v>4.2428571428571198</v>
      </c>
    </row>
    <row r="20" spans="1:6" ht="14.5" x14ac:dyDescent="0.35">
      <c r="A20" s="7" t="s">
        <v>28</v>
      </c>
      <c r="B20" s="11">
        <f>Dataset!G26</f>
        <v>0</v>
      </c>
      <c r="C20" s="11">
        <f>Dataset!N26</f>
        <v>0</v>
      </c>
      <c r="D20" s="11">
        <f>Dataset!R26</f>
        <v>0</v>
      </c>
      <c r="E20" s="11">
        <f>Dataset!T26</f>
        <v>0</v>
      </c>
      <c r="F20" s="8">
        <f>Dataset!V26</f>
        <v>0</v>
      </c>
    </row>
    <row r="21" spans="1:6" ht="14.5" x14ac:dyDescent="0.35">
      <c r="A21" s="7" t="s">
        <v>57</v>
      </c>
      <c r="B21" s="11">
        <f>Dataset!G27</f>
        <v>41.3</v>
      </c>
      <c r="C21" s="11">
        <f>Dataset!N27</f>
        <v>26.285714285714299</v>
      </c>
      <c r="D21" s="11">
        <f>Dataset!R27</f>
        <v>15.685714285714299</v>
      </c>
      <c r="E21" s="11">
        <f>Dataset!T27</f>
        <v>10.3857142857143</v>
      </c>
      <c r="F21" s="8">
        <f>Dataset!V27</f>
        <v>5.0857142857142899</v>
      </c>
    </row>
    <row r="22" spans="1:6" ht="14.5" x14ac:dyDescent="0.35">
      <c r="A22" s="7" t="s">
        <v>58</v>
      </c>
      <c r="B22" s="11">
        <f>Dataset!G30</f>
        <v>-1</v>
      </c>
      <c r="C22" s="11">
        <f>Dataset!N30</f>
        <v>-1</v>
      </c>
      <c r="D22" s="11">
        <f>Dataset!R30</f>
        <v>-1</v>
      </c>
      <c r="E22" s="11">
        <f>Dataset!T30</f>
        <v>-1</v>
      </c>
      <c r="F22" s="8">
        <f>Dataset!V30</f>
        <v>-1</v>
      </c>
    </row>
    <row r="23" spans="1:6" ht="14.5" x14ac:dyDescent="0.35">
      <c r="A23" s="7" t="s">
        <v>31</v>
      </c>
      <c r="B23" s="11">
        <f>Dataset!G31</f>
        <v>45</v>
      </c>
      <c r="C23" s="11">
        <f>Dataset!N31</f>
        <v>28.814285714285699</v>
      </c>
      <c r="D23" s="11">
        <f>Dataset!R31</f>
        <v>17.8857142857143</v>
      </c>
      <c r="E23" s="11">
        <f>Dataset!T31</f>
        <v>12.421428571428599</v>
      </c>
      <c r="F23" s="8">
        <f>Dataset!V31</f>
        <v>6.9571428571429204</v>
      </c>
    </row>
    <row r="24" spans="1:6" ht="14.5" x14ac:dyDescent="0.35">
      <c r="A24" s="7" t="s">
        <v>32</v>
      </c>
      <c r="B24" s="11">
        <f>Dataset!G32</f>
        <v>-1</v>
      </c>
      <c r="C24" s="11">
        <f>Dataset!N32</f>
        <v>-1</v>
      </c>
      <c r="D24" s="11">
        <f>Dataset!R32</f>
        <v>-1</v>
      </c>
      <c r="E24" s="11">
        <f>Dataset!T32</f>
        <v>-1</v>
      </c>
      <c r="F24" s="8">
        <f>Dataset!V32</f>
        <v>-1</v>
      </c>
    </row>
    <row r="25" spans="1:6" ht="14.5" x14ac:dyDescent="0.35">
      <c r="A25" s="7" t="s">
        <v>34</v>
      </c>
      <c r="B25" s="11">
        <f>Dataset!G34</f>
        <v>43.3</v>
      </c>
      <c r="C25" s="11">
        <f>Dataset!N34</f>
        <v>27.742857142857101</v>
      </c>
      <c r="D25" s="11">
        <f>Dataset!R34</f>
        <v>16.785714285714199</v>
      </c>
      <c r="E25" s="11">
        <f>Dataset!T34</f>
        <v>11.3071428571428</v>
      </c>
      <c r="F25" s="8">
        <f>Dataset!V34</f>
        <v>5.8285714285714398</v>
      </c>
    </row>
    <row r="26" spans="1:6" ht="14.5" x14ac:dyDescent="0.35">
      <c r="A26" s="7" t="s">
        <v>37</v>
      </c>
      <c r="B26" s="11">
        <f>Dataset!G38</f>
        <v>49.1</v>
      </c>
      <c r="C26" s="11">
        <f>Dataset!N38</f>
        <v>31.571428571428601</v>
      </c>
      <c r="D26" s="11">
        <f>Dataset!R38</f>
        <v>18.957142857142902</v>
      </c>
      <c r="E26" s="11">
        <f>Dataset!T38</f>
        <v>12.65</v>
      </c>
      <c r="F26" s="8">
        <f>Dataset!V38</f>
        <v>6.3428571428571701</v>
      </c>
    </row>
    <row r="27" spans="1:6" ht="14.5" x14ac:dyDescent="0.35">
      <c r="A27" s="7" t="s">
        <v>39</v>
      </c>
      <c r="B27" s="11">
        <f>Dataset!G40</f>
        <v>47.836130867709798</v>
      </c>
      <c r="C27" s="11">
        <f>Dataset!N40</f>
        <v>30.7886201991465</v>
      </c>
      <c r="D27" s="11">
        <f>Dataset!R40</f>
        <v>18.654663686242699</v>
      </c>
      <c r="E27" s="11">
        <f>Dataset!T40</f>
        <v>12.587685429790699</v>
      </c>
      <c r="F27" s="8">
        <f>Dataset!V40</f>
        <v>6.52070717333876</v>
      </c>
    </row>
    <row r="28" spans="1:6" ht="14.5" x14ac:dyDescent="0.3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 x14ac:dyDescent="0.35">
      <c r="A29" s="18" t="s">
        <v>83</v>
      </c>
      <c r="B29" s="30">
        <f>MAX(B6:B27)</f>
        <v>49.1</v>
      </c>
      <c r="C29" s="30">
        <f>MAX(C6:C27)</f>
        <v>31.571428571428601</v>
      </c>
      <c r="D29" s="30">
        <f t="shared" ref="D29:E29" si="0">MAX(D6:D27)</f>
        <v>18.957142857142902</v>
      </c>
      <c r="E29" s="30">
        <f t="shared" si="0"/>
        <v>12.65</v>
      </c>
      <c r="F29" s="30">
        <f>MAX(F6:F27)</f>
        <v>6.9571428571429204</v>
      </c>
    </row>
    <row r="30" spans="1:6" ht="14.5" x14ac:dyDescent="0.35">
      <c r="A30" s="18" t="s">
        <v>84</v>
      </c>
      <c r="B30" s="30">
        <f>AVERAGE(B6:B27)</f>
        <v>20.647096857623175</v>
      </c>
      <c r="C30" s="30">
        <f>AVERAGE(C6:C27)</f>
        <v>12.883248970091076</v>
      </c>
      <c r="D30" s="30">
        <f t="shared" ref="D30:E30" si="1">AVERAGE(D6:D27)</f>
        <v>7.4966405571668808</v>
      </c>
      <c r="E30" s="30">
        <f t="shared" si="1"/>
        <v>4.8033363507047673</v>
      </c>
      <c r="F30" s="30">
        <f>AVERAGE(F6:F27)</f>
        <v>2.110032144242679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R54"/>
  <sheetViews>
    <sheetView zoomScale="79" zoomScaleNormal="100" workbookViewId="0">
      <selection activeCell="I8" sqref="I8"/>
    </sheetView>
  </sheetViews>
  <sheetFormatPr defaultColWidth="11" defaultRowHeight="14.5" x14ac:dyDescent="0.35"/>
  <cols>
    <col min="1" max="1" width="39.796875" style="1" bestFit="1" customWidth="1"/>
    <col min="2" max="5" width="11" style="1"/>
    <col min="6" max="6" width="16.69921875" style="1" bestFit="1" customWidth="1"/>
    <col min="7" max="16384" width="11" style="1"/>
  </cols>
  <sheetData>
    <row r="1" spans="1:18" s="40" customFormat="1" ht="21" x14ac:dyDescent="0.5">
      <c r="A1" s="41" t="s">
        <v>56</v>
      </c>
      <c r="B1" s="40" t="s">
        <v>174</v>
      </c>
    </row>
    <row r="2" spans="1:18" customFormat="1" ht="13" x14ac:dyDescent="0.3"/>
    <row r="3" spans="1:18" s="2" customFormat="1" x14ac:dyDescent="0.35">
      <c r="B3" s="1"/>
    </row>
    <row r="4" spans="1:18" s="2" customFormat="1" x14ac:dyDescent="0.35">
      <c r="B4" s="1" t="s">
        <v>151</v>
      </c>
    </row>
    <row r="5" spans="1:18" ht="18.5" x14ac:dyDescent="0.45">
      <c r="A5" s="42" t="s">
        <v>53</v>
      </c>
      <c r="B5" s="53" t="s">
        <v>181</v>
      </c>
      <c r="C5" s="49"/>
      <c r="D5" s="49"/>
    </row>
    <row r="6" spans="1:18" ht="18.5" x14ac:dyDescent="0.45">
      <c r="A6" s="42" t="s">
        <v>153</v>
      </c>
      <c r="B6" s="53" t="s">
        <v>182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8.5" x14ac:dyDescent="0.45">
      <c r="A7" s="42"/>
      <c r="B7" s="53" t="s">
        <v>185</v>
      </c>
      <c r="C7" s="49"/>
      <c r="D7" s="49"/>
      <c r="E7" s="49"/>
    </row>
    <row r="9" spans="1:18" ht="23.5" x14ac:dyDescent="0.55000000000000004">
      <c r="A9" s="17" t="s">
        <v>165</v>
      </c>
      <c r="I9" s="2"/>
      <c r="J9" s="2"/>
    </row>
    <row r="10" spans="1:18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8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8" ht="23.5" x14ac:dyDescent="0.55000000000000004">
      <c r="A14" s="17" t="s">
        <v>162</v>
      </c>
    </row>
    <row r="15" spans="1:18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8" x14ac:dyDescent="0.35">
      <c r="A16" s="7" t="s">
        <v>121</v>
      </c>
      <c r="B16" s="11">
        <f>Dataset!B2</f>
        <v>20000</v>
      </c>
      <c r="C16" s="1" t="str">
        <f>Dataset!C2</f>
        <v>Monday</v>
      </c>
      <c r="D16" s="11">
        <f>Dataset!D2</f>
        <v>0</v>
      </c>
      <c r="E16" s="1" t="str">
        <f>Dataset!E2</f>
        <v>Sunday</v>
      </c>
      <c r="F16" s="51">
        <f>Dataset!F2</f>
        <v>0.99998842592592585</v>
      </c>
    </row>
    <row r="17" spans="1:6" x14ac:dyDescent="0.35">
      <c r="A17" s="7" t="s">
        <v>122</v>
      </c>
      <c r="B17" s="11">
        <f>Dataset!B3</f>
        <v>20002</v>
      </c>
      <c r="C17" s="1" t="str">
        <f>Dataset!C3</f>
        <v>Monday</v>
      </c>
      <c r="D17" s="11">
        <f>Dataset!D3</f>
        <v>0</v>
      </c>
      <c r="E17" s="1" t="str">
        <f>Dataset!E3</f>
        <v>Sunday</v>
      </c>
      <c r="F17" s="51">
        <f>Dataset!F2</f>
        <v>0.99998842592592585</v>
      </c>
    </row>
    <row r="18" spans="1:6" x14ac:dyDescent="0.35">
      <c r="A18" s="7" t="s">
        <v>123</v>
      </c>
      <c r="B18" s="11">
        <f>Dataset!B4</f>
        <v>20004</v>
      </c>
      <c r="C18" s="1" t="str">
        <f>Dataset!C4</f>
        <v>Monday</v>
      </c>
      <c r="D18" s="11">
        <f>Dataset!D4</f>
        <v>0</v>
      </c>
      <c r="E18" s="1" t="str">
        <f>Dataset!E4</f>
        <v>Sunday</v>
      </c>
      <c r="F18" s="51">
        <f>Dataset!F3</f>
        <v>0.99998842592592596</v>
      </c>
    </row>
    <row r="19" spans="1:6" x14ac:dyDescent="0.35">
      <c r="A19" s="7" t="s">
        <v>124</v>
      </c>
      <c r="B19" s="11">
        <f>Dataset!B5</f>
        <v>20006</v>
      </c>
      <c r="C19" s="1" t="str">
        <f>Dataset!C5</f>
        <v>Monday</v>
      </c>
      <c r="D19" s="11">
        <f>Dataset!D5</f>
        <v>0</v>
      </c>
      <c r="E19" s="1" t="str">
        <f>Dataset!E5</f>
        <v>Sunday</v>
      </c>
      <c r="F19" s="51">
        <f>Dataset!F4</f>
        <v>0.99998842592592596</v>
      </c>
    </row>
    <row r="20" spans="1:6" x14ac:dyDescent="0.35">
      <c r="A20" s="7" t="s">
        <v>125</v>
      </c>
      <c r="B20" s="11">
        <f>Dataset!B6</f>
        <v>20008</v>
      </c>
      <c r="C20" s="1" t="str">
        <f>Dataset!C6</f>
        <v>Monday</v>
      </c>
      <c r="D20" s="11">
        <f>Dataset!D6</f>
        <v>0</v>
      </c>
      <c r="E20" s="1" t="str">
        <f>Dataset!E6</f>
        <v>Sunday</v>
      </c>
      <c r="F20" s="51">
        <f>Dataset!F5</f>
        <v>0.99998842592592596</v>
      </c>
    </row>
    <row r="21" spans="1:6" x14ac:dyDescent="0.35">
      <c r="A21" s="7" t="s">
        <v>126</v>
      </c>
      <c r="B21" s="11">
        <f>Dataset!B7</f>
        <v>20010</v>
      </c>
      <c r="C21" s="1" t="str">
        <f>Dataset!C7</f>
        <v>Monday</v>
      </c>
      <c r="D21" s="11">
        <f>Dataset!D7</f>
        <v>0</v>
      </c>
      <c r="E21" s="1" t="str">
        <f>Dataset!E7</f>
        <v>Sunday</v>
      </c>
      <c r="F21" s="51">
        <f>Dataset!F6</f>
        <v>0.99998842592592596</v>
      </c>
    </row>
    <row r="22" spans="1:6" x14ac:dyDescent="0.35">
      <c r="A22" s="7" t="s">
        <v>127</v>
      </c>
      <c r="B22" s="11">
        <f>Dataset!B8</f>
        <v>20012</v>
      </c>
      <c r="C22" s="1" t="str">
        <f>Dataset!C8</f>
        <v>Monday</v>
      </c>
      <c r="D22" s="11">
        <f>Dataset!D8</f>
        <v>0</v>
      </c>
      <c r="E22" s="1" t="str">
        <f>Dataset!E8</f>
        <v>Sunday</v>
      </c>
      <c r="F22" s="51">
        <f>Dataset!F7</f>
        <v>0.99998842592592596</v>
      </c>
    </row>
    <row r="23" spans="1:6" x14ac:dyDescent="0.35">
      <c r="A23" s="7" t="s">
        <v>128</v>
      </c>
      <c r="B23" s="11">
        <f>Dataset!B9</f>
        <v>20014</v>
      </c>
      <c r="C23" s="1" t="str">
        <f>Dataset!C9</f>
        <v>Monday</v>
      </c>
      <c r="D23" s="11">
        <f>Dataset!D9</f>
        <v>0</v>
      </c>
      <c r="E23" s="1" t="str">
        <f>Dataset!E9</f>
        <v>Sunday</v>
      </c>
      <c r="F23" s="50">
        <f>Dataset!F3</f>
        <v>0.99998842592592596</v>
      </c>
    </row>
    <row r="24" spans="1:6" x14ac:dyDescent="0.35">
      <c r="A24" s="7" t="s">
        <v>129</v>
      </c>
      <c r="B24" s="11">
        <f>Dataset!B10</f>
        <v>20016</v>
      </c>
      <c r="C24" s="1" t="str">
        <f>Dataset!C10</f>
        <v>Monday</v>
      </c>
      <c r="D24" s="11">
        <f>Dataset!D10</f>
        <v>0</v>
      </c>
      <c r="E24" s="1" t="str">
        <f>Dataset!E10</f>
        <v>Sunday</v>
      </c>
      <c r="F24" s="50">
        <f>Dataset!F4</f>
        <v>0.99998842592592596</v>
      </c>
    </row>
    <row r="25" spans="1:6" x14ac:dyDescent="0.35">
      <c r="A25" s="7" t="s">
        <v>130</v>
      </c>
      <c r="B25" s="11">
        <f>Dataset!B11</f>
        <v>20018</v>
      </c>
      <c r="C25" s="1" t="str">
        <f>Dataset!C11</f>
        <v>Monday</v>
      </c>
      <c r="D25" s="11">
        <f>Dataset!D11</f>
        <v>0</v>
      </c>
      <c r="E25" s="1" t="str">
        <f>Dataset!E11</f>
        <v>Sunday</v>
      </c>
      <c r="F25" s="50">
        <f>Dataset!F5</f>
        <v>0.99998842592592596</v>
      </c>
    </row>
    <row r="26" spans="1:6" x14ac:dyDescent="0.35">
      <c r="A26" s="7" t="s">
        <v>131</v>
      </c>
      <c r="B26" s="11">
        <f>Dataset!B12</f>
        <v>20020</v>
      </c>
      <c r="C26" s="1" t="str">
        <f>Dataset!C12</f>
        <v>Monday</v>
      </c>
      <c r="D26" s="11">
        <f>Dataset!D12</f>
        <v>0</v>
      </c>
      <c r="E26" s="1" t="str">
        <f>Dataset!E12</f>
        <v>Sunday</v>
      </c>
      <c r="F26" s="50">
        <f>Dataset!F6</f>
        <v>0.99998842592592596</v>
      </c>
    </row>
    <row r="27" spans="1:6" x14ac:dyDescent="0.35">
      <c r="A27" s="7" t="s">
        <v>132</v>
      </c>
      <c r="B27" s="11">
        <f>Dataset!B13</f>
        <v>20022</v>
      </c>
      <c r="C27" s="1" t="str">
        <f>Dataset!C13</f>
        <v>Monday</v>
      </c>
      <c r="D27" s="11">
        <f>Dataset!D13</f>
        <v>0</v>
      </c>
      <c r="E27" s="1" t="str">
        <f>Dataset!E13</f>
        <v>Sunday</v>
      </c>
      <c r="F27" s="50">
        <f>Dataset!F7</f>
        <v>0.99998842592592596</v>
      </c>
    </row>
    <row r="28" spans="1:6" x14ac:dyDescent="0.35">
      <c r="A28" s="7" t="s">
        <v>133</v>
      </c>
      <c r="B28" s="11">
        <f>Dataset!B14</f>
        <v>20024</v>
      </c>
      <c r="C28" s="1" t="str">
        <f>Dataset!C14</f>
        <v>Monday</v>
      </c>
      <c r="D28" s="11">
        <f>Dataset!D14</f>
        <v>0</v>
      </c>
      <c r="E28" s="1" t="str">
        <f>Dataset!E14</f>
        <v>Sunday</v>
      </c>
      <c r="F28" s="50">
        <f>Dataset!F8</f>
        <v>0.99998842592592596</v>
      </c>
    </row>
    <row r="29" spans="1:6" x14ac:dyDescent="0.35">
      <c r="A29" s="7" t="s">
        <v>134</v>
      </c>
      <c r="B29" s="11">
        <f>Dataset!B15</f>
        <v>20026</v>
      </c>
      <c r="C29" s="1" t="str">
        <f>Dataset!C15</f>
        <v>Monday</v>
      </c>
      <c r="D29" s="11">
        <f>Dataset!D15</f>
        <v>0</v>
      </c>
      <c r="E29" s="1" t="str">
        <f>Dataset!E15</f>
        <v>Sunday</v>
      </c>
      <c r="F29" s="50">
        <f>Dataset!F9</f>
        <v>0.99998842592592596</v>
      </c>
    </row>
    <row r="30" spans="1:6" x14ac:dyDescent="0.35">
      <c r="A30" s="7" t="s">
        <v>135</v>
      </c>
      <c r="B30" s="11">
        <f>Dataset!B16</f>
        <v>20028</v>
      </c>
      <c r="C30" s="1" t="str">
        <f>Dataset!C16</f>
        <v>Monday</v>
      </c>
      <c r="D30" s="11">
        <f>Dataset!D16</f>
        <v>0</v>
      </c>
      <c r="E30" s="1" t="str">
        <f>Dataset!E16</f>
        <v>Sunday</v>
      </c>
      <c r="F30" s="50">
        <f>Dataset!F10</f>
        <v>0.99998842592592596</v>
      </c>
    </row>
    <row r="31" spans="1:6" x14ac:dyDescent="0.35">
      <c r="A31" s="7" t="s">
        <v>136</v>
      </c>
      <c r="B31" s="11">
        <f>Dataset!B17</f>
        <v>20030</v>
      </c>
      <c r="C31" s="1" t="str">
        <f>Dataset!C17</f>
        <v>Monday</v>
      </c>
      <c r="D31" s="11">
        <f>Dataset!D17</f>
        <v>0</v>
      </c>
      <c r="E31" s="1" t="str">
        <f>Dataset!E17</f>
        <v>Sunday</v>
      </c>
      <c r="F31" s="50">
        <f>Dataset!F11</f>
        <v>0.99998842592592596</v>
      </c>
    </row>
    <row r="32" spans="1:6" x14ac:dyDescent="0.35">
      <c r="A32" s="7" t="s">
        <v>137</v>
      </c>
      <c r="B32" s="11">
        <f>Dataset!B18</f>
        <v>20032</v>
      </c>
      <c r="C32" s="1" t="str">
        <f>Dataset!C18</f>
        <v>Monday</v>
      </c>
      <c r="D32" s="11">
        <f>Dataset!D18</f>
        <v>0</v>
      </c>
      <c r="E32" s="1" t="str">
        <f>Dataset!E18</f>
        <v>Sunday</v>
      </c>
      <c r="F32" s="50">
        <f>Dataset!F12</f>
        <v>0.99998842592592596</v>
      </c>
    </row>
    <row r="33" spans="1:6" x14ac:dyDescent="0.35">
      <c r="A33" s="7" t="s">
        <v>138</v>
      </c>
      <c r="B33" s="11">
        <f>Dataset!B19</f>
        <v>20034</v>
      </c>
      <c r="C33" s="1" t="str">
        <f>Dataset!C19</f>
        <v>Monday</v>
      </c>
      <c r="D33" s="11">
        <f>Dataset!D19</f>
        <v>0</v>
      </c>
      <c r="E33" s="1" t="str">
        <f>Dataset!E19</f>
        <v>Sunday</v>
      </c>
      <c r="F33" s="50">
        <f>Dataset!F13</f>
        <v>0.99998842592592596</v>
      </c>
    </row>
    <row r="34" spans="1:6" x14ac:dyDescent="0.35">
      <c r="A34" s="7" t="s">
        <v>139</v>
      </c>
      <c r="B34" s="11">
        <f>Dataset!B20</f>
        <v>20036</v>
      </c>
      <c r="C34" s="1" t="str">
        <f>Dataset!C20</f>
        <v>Monday</v>
      </c>
      <c r="D34" s="11">
        <f>Dataset!D20</f>
        <v>0</v>
      </c>
      <c r="E34" s="1" t="str">
        <f>Dataset!E20</f>
        <v>Sunday</v>
      </c>
      <c r="F34" s="50">
        <f>Dataset!F14</f>
        <v>0.99998842592592596</v>
      </c>
    </row>
    <row r="35" spans="1:6" x14ac:dyDescent="0.35">
      <c r="A35" s="7" t="s">
        <v>140</v>
      </c>
      <c r="B35" s="11">
        <f>Dataset!B21</f>
        <v>20038</v>
      </c>
      <c r="C35" s="1" t="str">
        <f>Dataset!C21</f>
        <v>Monday</v>
      </c>
      <c r="D35" s="11">
        <f>Dataset!D21</f>
        <v>0</v>
      </c>
      <c r="E35" s="1" t="str">
        <f>Dataset!E21</f>
        <v>Sunday</v>
      </c>
      <c r="F35" s="50">
        <f>Dataset!F15</f>
        <v>0.99998842592592596</v>
      </c>
    </row>
    <row r="36" spans="1:6" x14ac:dyDescent="0.35">
      <c r="A36" s="7" t="s">
        <v>141</v>
      </c>
      <c r="B36" s="11">
        <f>Dataset!B22</f>
        <v>20040</v>
      </c>
      <c r="C36" s="1" t="str">
        <f>Dataset!C22</f>
        <v>Monday</v>
      </c>
      <c r="D36" s="11">
        <f>Dataset!D22</f>
        <v>0</v>
      </c>
      <c r="E36" s="1" t="str">
        <f>Dataset!E22</f>
        <v>Sunday</v>
      </c>
      <c r="F36" s="50">
        <f>Dataset!F16</f>
        <v>0.99998842592592596</v>
      </c>
    </row>
    <row r="37" spans="1:6" x14ac:dyDescent="0.35">
      <c r="A37" s="7" t="s">
        <v>142</v>
      </c>
      <c r="B37" s="11">
        <f>Dataset!B23</f>
        <v>20042</v>
      </c>
      <c r="C37" s="1" t="str">
        <f>Dataset!C23</f>
        <v>Monday</v>
      </c>
      <c r="D37" s="11">
        <f>Dataset!D23</f>
        <v>0</v>
      </c>
      <c r="E37" s="1" t="str">
        <f>Dataset!E23</f>
        <v>Sunday</v>
      </c>
      <c r="F37" s="50">
        <f>Dataset!F17</f>
        <v>0.99998842592592596</v>
      </c>
    </row>
    <row r="38" spans="1:6" x14ac:dyDescent="0.35">
      <c r="A38" s="7" t="s">
        <v>143</v>
      </c>
      <c r="B38" s="11">
        <f>Dataset!B24</f>
        <v>20044</v>
      </c>
      <c r="C38" s="1" t="str">
        <f>Dataset!C24</f>
        <v>Monday</v>
      </c>
      <c r="D38" s="11">
        <f>Dataset!D24</f>
        <v>0</v>
      </c>
      <c r="E38" s="1" t="str">
        <f>Dataset!E24</f>
        <v>Sunday</v>
      </c>
      <c r="F38" s="50">
        <f>Dataset!F18</f>
        <v>0.99998842592592596</v>
      </c>
    </row>
    <row r="39" spans="1:6" x14ac:dyDescent="0.35">
      <c r="A39" s="7" t="s">
        <v>144</v>
      </c>
      <c r="B39" s="11">
        <f>Dataset!B25</f>
        <v>20046</v>
      </c>
      <c r="C39" s="1" t="str">
        <f>Dataset!C25</f>
        <v>Monday</v>
      </c>
      <c r="D39" s="11">
        <f>Dataset!D25</f>
        <v>0</v>
      </c>
      <c r="E39" s="1" t="str">
        <f>Dataset!E25</f>
        <v>Sunday</v>
      </c>
      <c r="F39" s="50">
        <f>Dataset!F19</f>
        <v>0.99998842592592596</v>
      </c>
    </row>
    <row r="40" spans="1:6" x14ac:dyDescent="0.35">
      <c r="A40" s="7" t="s">
        <v>145</v>
      </c>
      <c r="B40" s="11">
        <f>Dataset!B26</f>
        <v>20048</v>
      </c>
      <c r="C40" s="1" t="str">
        <f>Dataset!C26</f>
        <v>Monday</v>
      </c>
      <c r="D40" s="11">
        <f>Dataset!D26</f>
        <v>0</v>
      </c>
      <c r="E40" s="1" t="str">
        <f>Dataset!E26</f>
        <v>Sunday</v>
      </c>
      <c r="F40" s="50">
        <f>Dataset!F20</f>
        <v>0.99998842592592596</v>
      </c>
    </row>
    <row r="41" spans="1:6" x14ac:dyDescent="0.35">
      <c r="A41" s="7" t="s">
        <v>146</v>
      </c>
      <c r="B41" s="11">
        <f>Dataset!B27</f>
        <v>20050</v>
      </c>
      <c r="C41" s="1" t="str">
        <f>Dataset!C27</f>
        <v>Monday</v>
      </c>
      <c r="D41" s="11">
        <f>Dataset!D27</f>
        <v>0</v>
      </c>
      <c r="E41" s="1" t="str">
        <f>Dataset!E27</f>
        <v>Sunday</v>
      </c>
      <c r="F41" s="50">
        <f>Dataset!F21</f>
        <v>0.99998842592592596</v>
      </c>
    </row>
    <row r="42" spans="1:6" x14ac:dyDescent="0.35">
      <c r="A42" s="7" t="s">
        <v>147</v>
      </c>
      <c r="B42" s="11">
        <f>Dataset!B28</f>
        <v>20052</v>
      </c>
      <c r="C42" s="1" t="str">
        <f>Dataset!C28</f>
        <v>Monday</v>
      </c>
      <c r="D42" s="11">
        <f>Dataset!D28</f>
        <v>0</v>
      </c>
      <c r="E42" s="1" t="str">
        <f>Dataset!E28</f>
        <v>Sunday</v>
      </c>
      <c r="F42" s="50">
        <f>Dataset!F22</f>
        <v>0.99998842592592596</v>
      </c>
    </row>
    <row r="43" spans="1:6" x14ac:dyDescent="0.35">
      <c r="A43" s="7" t="s">
        <v>148</v>
      </c>
      <c r="B43" s="11">
        <f>Dataset!B29</f>
        <v>20054</v>
      </c>
      <c r="C43" s="1" t="str">
        <f>Dataset!C29</f>
        <v>Monday</v>
      </c>
      <c r="D43" s="11">
        <f>Dataset!D29</f>
        <v>0</v>
      </c>
      <c r="E43" s="1" t="str">
        <f>Dataset!E29</f>
        <v>Sunday</v>
      </c>
      <c r="F43" s="50">
        <f>Dataset!F23</f>
        <v>0.99998842592592596</v>
      </c>
    </row>
    <row r="44" spans="1:6" x14ac:dyDescent="0.35">
      <c r="A44" s="7" t="s">
        <v>149</v>
      </c>
      <c r="B44" s="11">
        <f>Dataset!B30</f>
        <v>20058</v>
      </c>
      <c r="C44" s="1" t="str">
        <f>Dataset!C30</f>
        <v>Monday</v>
      </c>
      <c r="D44" s="11">
        <f>Dataset!D30</f>
        <v>0</v>
      </c>
      <c r="E44" s="1" t="str">
        <f>Dataset!E30</f>
        <v>Sunday</v>
      </c>
      <c r="F44" s="50">
        <f>Dataset!F24</f>
        <v>0.99998842592592596</v>
      </c>
    </row>
    <row r="45" spans="1:6" x14ac:dyDescent="0.35">
      <c r="A45" s="7" t="s">
        <v>150</v>
      </c>
      <c r="B45" s="11">
        <f>Dataset!B31</f>
        <v>20060</v>
      </c>
      <c r="C45" s="1" t="str">
        <f>Dataset!C31</f>
        <v>Monday</v>
      </c>
      <c r="D45" s="11">
        <f>Dataset!D31</f>
        <v>0</v>
      </c>
      <c r="E45" s="1" t="str">
        <f>Dataset!E31</f>
        <v>Sunday</v>
      </c>
      <c r="F45" s="50">
        <f>Dataset!F25</f>
        <v>0.99998842592592596</v>
      </c>
    </row>
    <row r="46" spans="1:6" x14ac:dyDescent="0.35">
      <c r="A46" s="7" t="s">
        <v>112</v>
      </c>
      <c r="B46" s="11">
        <f>Dataset!B32</f>
        <v>21000</v>
      </c>
      <c r="C46" s="1" t="str">
        <f>Dataset!C32</f>
        <v>Monday</v>
      </c>
      <c r="D46" s="11">
        <f>Dataset!D32</f>
        <v>0</v>
      </c>
      <c r="E46" s="1" t="str">
        <f>Dataset!E32</f>
        <v>Sunday</v>
      </c>
      <c r="F46" s="50">
        <f>Dataset!F26</f>
        <v>0.99998842592592596</v>
      </c>
    </row>
    <row r="47" spans="1:6" x14ac:dyDescent="0.35">
      <c r="A47" s="7" t="s">
        <v>113</v>
      </c>
      <c r="B47" s="11">
        <f>Dataset!B33</f>
        <v>21002</v>
      </c>
      <c r="C47" s="1" t="str">
        <f>Dataset!C33</f>
        <v>Monday</v>
      </c>
      <c r="D47" s="11">
        <f>Dataset!D33</f>
        <v>0</v>
      </c>
      <c r="E47" s="1" t="str">
        <f>Dataset!E33</f>
        <v>Sunday</v>
      </c>
      <c r="F47" s="50">
        <f>Dataset!F27</f>
        <v>0.99998842592592596</v>
      </c>
    </row>
    <row r="48" spans="1:6" x14ac:dyDescent="0.35">
      <c r="A48" s="7" t="s">
        <v>114</v>
      </c>
      <c r="B48" s="11">
        <f>Dataset!B34</f>
        <v>21004</v>
      </c>
      <c r="C48" s="1" t="str">
        <f>Dataset!C34</f>
        <v>Monday</v>
      </c>
      <c r="D48" s="11">
        <f>Dataset!D34</f>
        <v>0</v>
      </c>
      <c r="E48" s="1" t="str">
        <f>Dataset!E34</f>
        <v>Sunday</v>
      </c>
      <c r="F48" s="50">
        <f>Dataset!F28</f>
        <v>0.99998842592592596</v>
      </c>
    </row>
    <row r="49" spans="1:6" x14ac:dyDescent="0.35">
      <c r="A49" s="7" t="s">
        <v>115</v>
      </c>
      <c r="B49" s="11">
        <f>Dataset!B35</f>
        <v>21006</v>
      </c>
      <c r="C49" s="1" t="str">
        <f>Dataset!C35</f>
        <v>Monday</v>
      </c>
      <c r="D49" s="11">
        <f>Dataset!D35</f>
        <v>0</v>
      </c>
      <c r="E49" s="1" t="str">
        <f>Dataset!E35</f>
        <v>Sunday</v>
      </c>
      <c r="F49" s="50">
        <f>Dataset!F29</f>
        <v>0.99998842592592596</v>
      </c>
    </row>
    <row r="50" spans="1:6" x14ac:dyDescent="0.35">
      <c r="A50" s="7" t="s">
        <v>116</v>
      </c>
      <c r="B50" s="11">
        <f>Dataset!B36</f>
        <v>21008</v>
      </c>
      <c r="C50" s="1" t="str">
        <f>Dataset!C36</f>
        <v>Monday</v>
      </c>
      <c r="D50" s="11">
        <f>Dataset!D36</f>
        <v>0</v>
      </c>
      <c r="E50" s="1" t="str">
        <f>Dataset!E36</f>
        <v>Sunday</v>
      </c>
      <c r="F50" s="50">
        <f>Dataset!F30</f>
        <v>0.99998842592592596</v>
      </c>
    </row>
    <row r="51" spans="1:6" x14ac:dyDescent="0.35">
      <c r="A51" s="7" t="s">
        <v>117</v>
      </c>
      <c r="B51" s="11">
        <f>Dataset!B37</f>
        <v>21010</v>
      </c>
      <c r="C51" s="1" t="str">
        <f>Dataset!C37</f>
        <v>Monday</v>
      </c>
      <c r="D51" s="11">
        <f>Dataset!D37</f>
        <v>0</v>
      </c>
      <c r="E51" s="1" t="str">
        <f>Dataset!E37</f>
        <v>Sunday</v>
      </c>
      <c r="F51" s="50">
        <f>Dataset!F31</f>
        <v>0.99998842592592596</v>
      </c>
    </row>
    <row r="52" spans="1:6" x14ac:dyDescent="0.35">
      <c r="A52" s="7" t="s">
        <v>118</v>
      </c>
      <c r="B52" s="11">
        <f>Dataset!B38</f>
        <v>21012</v>
      </c>
      <c r="C52" s="1" t="str">
        <f>Dataset!C38</f>
        <v>Monday</v>
      </c>
      <c r="D52" s="11">
        <f>Dataset!D38</f>
        <v>0</v>
      </c>
      <c r="E52" s="1" t="str">
        <f>Dataset!E38</f>
        <v>Sunday</v>
      </c>
      <c r="F52" s="50">
        <f>Dataset!F32</f>
        <v>0.99998842592592596</v>
      </c>
    </row>
    <row r="53" spans="1:6" x14ac:dyDescent="0.35">
      <c r="A53" s="7" t="s">
        <v>119</v>
      </c>
      <c r="B53" s="11">
        <f>Dataset!B39</f>
        <v>21014</v>
      </c>
      <c r="C53" s="1" t="str">
        <f>Dataset!C39</f>
        <v>Monday</v>
      </c>
      <c r="D53" s="11">
        <f>Dataset!D39</f>
        <v>0</v>
      </c>
      <c r="E53" s="1" t="str">
        <f>Dataset!E39</f>
        <v>Sunday</v>
      </c>
      <c r="F53" s="50">
        <f>Dataset!F33</f>
        <v>0.99998842592592596</v>
      </c>
    </row>
    <row r="54" spans="1:6" x14ac:dyDescent="0.35">
      <c r="A54" s="9" t="s">
        <v>120</v>
      </c>
      <c r="B54" s="11">
        <f>Dataset!B40</f>
        <v>21016</v>
      </c>
      <c r="C54" s="1" t="str">
        <f>Dataset!C40</f>
        <v>Monday</v>
      </c>
      <c r="D54" s="11">
        <f>Dataset!D40</f>
        <v>0</v>
      </c>
      <c r="E54" s="1" t="str">
        <f>Dataset!E40</f>
        <v>Sunday</v>
      </c>
      <c r="F54" s="50">
        <f>Dataset!F34</f>
        <v>0.99998842592592596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B7" sqref="B7:I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9" ht="21" x14ac:dyDescent="0.5">
      <c r="A1" s="41" t="s">
        <v>85</v>
      </c>
      <c r="B1" s="40" t="s">
        <v>167</v>
      </c>
    </row>
    <row r="2" spans="1:9" ht="18.5" x14ac:dyDescent="0.45">
      <c r="B2" s="39" t="s">
        <v>166</v>
      </c>
    </row>
    <row r="5" spans="1:9" ht="14.5" x14ac:dyDescent="0.35">
      <c r="B5" s="1" t="s">
        <v>151</v>
      </c>
    </row>
    <row r="6" spans="1:9" ht="14.5" x14ac:dyDescent="0.35">
      <c r="A6" s="3" t="s">
        <v>53</v>
      </c>
      <c r="B6" s="49" t="s">
        <v>179</v>
      </c>
      <c r="C6" s="52"/>
      <c r="D6" s="52"/>
      <c r="E6" s="52"/>
    </row>
    <row r="7" spans="1:9" ht="14.5" x14ac:dyDescent="0.35">
      <c r="A7" s="3" t="s">
        <v>153</v>
      </c>
      <c r="B7" s="49" t="s">
        <v>180</v>
      </c>
      <c r="C7" s="52"/>
      <c r="D7" s="52"/>
      <c r="E7" s="52"/>
      <c r="F7" s="52"/>
      <c r="G7" s="52"/>
      <c r="H7" s="52"/>
      <c r="I7" s="52"/>
    </row>
    <row r="10" spans="1:9" ht="23.5" x14ac:dyDescent="0.55000000000000004">
      <c r="A10" s="17" t="s">
        <v>162</v>
      </c>
    </row>
    <row r="11" spans="1:9" ht="14.5" x14ac:dyDescent="0.35">
      <c r="A11" s="31" t="s">
        <v>86</v>
      </c>
      <c r="B11" s="16" t="s">
        <v>87</v>
      </c>
      <c r="C11" s="16" t="s">
        <v>88</v>
      </c>
    </row>
    <row r="12" spans="1:9" ht="14.5" x14ac:dyDescent="0.35">
      <c r="A12" s="31">
        <v>44927</v>
      </c>
      <c r="B12" s="16" t="s">
        <v>59</v>
      </c>
      <c r="C12" s="16">
        <v>200</v>
      </c>
    </row>
    <row r="13" spans="1:9" ht="14.5" x14ac:dyDescent="0.35">
      <c r="A13" s="31">
        <v>44928</v>
      </c>
      <c r="B13" s="16" t="s">
        <v>60</v>
      </c>
      <c r="C13" s="16">
        <v>20</v>
      </c>
    </row>
    <row r="14" spans="1:9" ht="14.5" x14ac:dyDescent="0.35">
      <c r="A14" s="31">
        <v>44929</v>
      </c>
      <c r="B14" s="16" t="s">
        <v>61</v>
      </c>
      <c r="C14" s="16">
        <v>50</v>
      </c>
    </row>
    <row r="15" spans="1:9" ht="14.5" x14ac:dyDescent="0.35">
      <c r="A15" s="31">
        <v>44930</v>
      </c>
      <c r="B15" s="16" t="s">
        <v>62</v>
      </c>
      <c r="C15" s="16">
        <v>20</v>
      </c>
    </row>
    <row r="16" spans="1:9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>
        <v>20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>
        <v>20</v>
      </c>
    </row>
    <row r="22" spans="1:3" ht="14.5" x14ac:dyDescent="0.3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F7" sqref="F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52" t="s">
        <v>183</v>
      </c>
      <c r="D4" s="52"/>
    </row>
    <row r="5" spans="1:14" ht="18.5" x14ac:dyDescent="0.45">
      <c r="A5" s="42" t="s">
        <v>153</v>
      </c>
      <c r="B5" s="1"/>
      <c r="C5" s="52" t="s">
        <v>184</v>
      </c>
      <c r="D5" s="52"/>
      <c r="E5" s="52"/>
      <c r="F5" s="52"/>
      <c r="G5" s="52"/>
      <c r="H5" s="52"/>
      <c r="I5" s="52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B11</f>
        <v>95</v>
      </c>
    </row>
    <row r="24" spans="1:14" ht="14.5" x14ac:dyDescent="0.35">
      <c r="A24" s="7">
        <v>10100</v>
      </c>
      <c r="B24" s="11">
        <v>10104</v>
      </c>
      <c r="C24" s="43">
        <f>B12</f>
        <v>-1</v>
      </c>
    </row>
    <row r="25" spans="1:14" ht="14.5" x14ac:dyDescent="0.35">
      <c r="A25" s="7">
        <v>10108</v>
      </c>
      <c r="B25" s="11">
        <v>10102</v>
      </c>
      <c r="C25" s="43">
        <f>F11</f>
        <v>160</v>
      </c>
    </row>
    <row r="26" spans="1:14" ht="14.5" x14ac:dyDescent="0.35">
      <c r="A26" s="7">
        <v>10100</v>
      </c>
      <c r="B26" s="11">
        <v>10106</v>
      </c>
      <c r="C26" s="43">
        <f>B13</f>
        <v>185</v>
      </c>
    </row>
    <row r="27" spans="1:14" ht="14.5" x14ac:dyDescent="0.35">
      <c r="A27" s="7">
        <v>10108</v>
      </c>
      <c r="B27" s="11">
        <v>10110</v>
      </c>
      <c r="C27" s="43">
        <f>F15</f>
        <v>50</v>
      </c>
    </row>
    <row r="28" spans="1:14" ht="14.5" x14ac:dyDescent="0.35">
      <c r="A28" s="7">
        <v>10102</v>
      </c>
      <c r="B28" s="11">
        <v>10104</v>
      </c>
      <c r="C28" s="43">
        <f>C12</f>
        <v>-1</v>
      </c>
    </row>
    <row r="29" spans="1:14" ht="14.5" x14ac:dyDescent="0.35">
      <c r="A29" s="7">
        <v>10106</v>
      </c>
      <c r="B29" s="11">
        <v>10108</v>
      </c>
      <c r="C29" s="43">
        <f>E14</f>
        <v>70</v>
      </c>
    </row>
    <row r="30" spans="1:14" ht="14.5" x14ac:dyDescent="0.35">
      <c r="A30" s="7">
        <v>10102</v>
      </c>
      <c r="B30" s="11">
        <v>10106</v>
      </c>
      <c r="C30" s="43">
        <f>C13</f>
        <v>90</v>
      </c>
    </row>
    <row r="31" spans="1:14" ht="14.5" x14ac:dyDescent="0.35">
      <c r="A31" s="7">
        <v>10110</v>
      </c>
      <c r="B31" s="11">
        <v>10114</v>
      </c>
      <c r="C31" s="43">
        <f>G17</f>
        <v>180</v>
      </c>
    </row>
    <row r="32" spans="1:14" ht="14.5" x14ac:dyDescent="0.35">
      <c r="A32" s="7">
        <v>10104</v>
      </c>
      <c r="B32" s="11">
        <v>10106</v>
      </c>
      <c r="C32" s="43">
        <f>D13</f>
        <v>60</v>
      </c>
    </row>
    <row r="33" spans="1:3" ht="14.5" x14ac:dyDescent="0.35">
      <c r="A33" s="7">
        <v>10110</v>
      </c>
      <c r="B33" s="11">
        <v>10112</v>
      </c>
      <c r="C33" s="43">
        <f>G16</f>
        <v>115</v>
      </c>
    </row>
    <row r="34" spans="1:3" ht="14.5" x14ac:dyDescent="0.35">
      <c r="A34" s="7">
        <v>10100</v>
      </c>
      <c r="B34" s="11">
        <v>10114</v>
      </c>
      <c r="C34" s="43">
        <f>B17</f>
        <v>480</v>
      </c>
    </row>
    <row r="35" spans="1:3" ht="14.5" x14ac:dyDescent="0.35">
      <c r="A35" s="9">
        <v>10112</v>
      </c>
      <c r="B35" s="12">
        <v>10116</v>
      </c>
      <c r="C35" s="44">
        <f>H18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Hanna Dark</cp:lastModifiedBy>
  <dcterms:created xsi:type="dcterms:W3CDTF">2015-02-10T17:33:11Z</dcterms:created>
  <dcterms:modified xsi:type="dcterms:W3CDTF">2023-12-10T12:09:42Z</dcterms:modified>
</cp:coreProperties>
</file>